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hara\OneDrive\Desktop\"/>
    </mc:Choice>
  </mc:AlternateContent>
  <xr:revisionPtr revIDLastSave="0" documentId="13_ncr:1_{D057C915-E27D-4A07-859B-E9CF6A5CB39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ticket" sheetId="1" r:id="rId1"/>
    <sheet name="count" sheetId="11" r:id="rId2"/>
    <sheet name="feedbacks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2" i="3"/>
  <c r="G3" i="1"/>
  <c r="G4" i="1"/>
  <c r="G5" i="1"/>
  <c r="G6" i="1"/>
  <c r="G7" i="1"/>
  <c r="G8" i="1"/>
  <c r="G9" i="1"/>
  <c r="G10" i="1"/>
  <c r="G11" i="1"/>
  <c r="G12" i="1"/>
  <c r="G13" i="1"/>
  <c r="G2" i="1"/>
  <c r="F3" i="1"/>
  <c r="F4" i="1"/>
  <c r="F5" i="1"/>
  <c r="F6" i="1"/>
  <c r="F7" i="1"/>
  <c r="F8" i="1"/>
  <c r="F9" i="1"/>
  <c r="F10" i="1"/>
  <c r="F11" i="1"/>
  <c r="F12" i="1"/>
  <c r="F13" i="1"/>
  <c r="F2" i="1"/>
</calcChain>
</file>

<file path=xl/sharedStrings.xml><?xml version="1.0" encoding="utf-8"?>
<sst xmlns="http://schemas.openxmlformats.org/spreadsheetml/2006/main" count="65" uniqueCount="40">
  <si>
    <t>ticket_id</t>
  </si>
  <si>
    <t>created_at</t>
  </si>
  <si>
    <t>closed_at</t>
  </si>
  <si>
    <t>outlet_id</t>
  </si>
  <si>
    <t>cms_id</t>
  </si>
  <si>
    <t>isu-sjd-457</t>
  </si>
  <si>
    <t>wrqy-juv-978</t>
  </si>
  <si>
    <t>vew-iuvd-12</t>
  </si>
  <si>
    <t>qer-fal-092</t>
  </si>
  <si>
    <t>8woh-k3u-23b</t>
  </si>
  <si>
    <t>vew-iuvd-13</t>
  </si>
  <si>
    <t>tkt-101</t>
  </si>
  <si>
    <t>vew-iuvd-14</t>
  </si>
  <si>
    <t>tkt-102</t>
  </si>
  <si>
    <t>vew-iuvd-15</t>
  </si>
  <si>
    <t>tkt-103</t>
  </si>
  <si>
    <t>vew-iuvd-16</t>
  </si>
  <si>
    <t>tkt-104</t>
  </si>
  <si>
    <t>vew-iuvd-17</t>
  </si>
  <si>
    <t>tkt-105</t>
  </si>
  <si>
    <t>vew-iuvd-18</t>
  </si>
  <si>
    <t>tkt-106</t>
  </si>
  <si>
    <t>vew-iuvd-19</t>
  </si>
  <si>
    <t>tkt-107</t>
  </si>
  <si>
    <t>vew-iuvd-20</t>
  </si>
  <si>
    <t>tkt-108</t>
  </si>
  <si>
    <t>vew-iuvd-21</t>
  </si>
  <si>
    <t>tkt-109</t>
  </si>
  <si>
    <t>vew-iuvd-22</t>
  </si>
  <si>
    <t>tkt-110</t>
  </si>
  <si>
    <t>vew-iuvd-23</t>
  </si>
  <si>
    <t>feedback_at</t>
  </si>
  <si>
    <t>feedback_rating</t>
  </si>
  <si>
    <t>ticket_created_at</t>
  </si>
  <si>
    <t>same_day</t>
  </si>
  <si>
    <t>same_hour</t>
  </si>
  <si>
    <t>Row Labels</t>
  </si>
  <si>
    <t>Grand Total</t>
  </si>
  <si>
    <t>Sum of same_day</t>
  </si>
  <si>
    <t>Sum of same_hour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</si>
</sst>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"/>
  </numFmts>
  <fonts count="4" x14ac:knownFonts="1">
    <font>
      <sz val="10"/>
      <color rgb="FF000000"/>
      <name val="Arial"/>
      <scheme val="minor"/>
    </font>
    <font>
      <sz val="10"/>
      <color rgb="FF1F1F1F"/>
      <name val="Arial"/>
      <family val="2"/>
      <scheme val="minor"/>
    </font>
    <font>
      <b/>
      <sz val="10"/>
      <color rgb="FF1F1F1F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0" fillId="0" borderId="1" xfId="0" applyBorder="1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22" fontId="1" fillId="0" borderId="1" xfId="0" applyNumberFormat="1" applyFont="1" applyBorder="1" applyAlignment="1">
      <alignment vertical="center" wrapText="1" readingOrder="1"/>
    </xf>
    <xf numFmtId="0" fontId="2" fillId="0" borderId="2" xfId="0" applyFont="1" applyBorder="1" applyAlignment="1">
      <alignment vertical="center" wrapText="1" readingOrder="1"/>
    </xf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arath V" refreshedDate="46120.976997453705" createdVersion="8" refreshedVersion="8" minRefreshableVersion="3" recordCount="12" xr:uid="{677EA06D-48B2-4E91-8932-0178291ED907}">
  <cacheSource type="worksheet">
    <worksheetSource ref="A1:G13" sheet="ticket"/>
  </cacheSource>
  <cacheFields count="7">
    <cacheField name="ticket_id" numFmtId="0">
      <sharedItems/>
    </cacheField>
    <cacheField name="created_at" numFmtId="22">
      <sharedItems containsSemiMixedTypes="0" containsNonDate="0" containsDate="1" containsString="0" minDate="2021-08-19T16:45:43" maxDate="2021-11-09T17:30:00"/>
    </cacheField>
    <cacheField name="closed_at" numFmtId="22">
      <sharedItems containsSemiMixedTypes="0" containsNonDate="0" containsDate="1" containsString="0" minDate="2021-08-21T17:13:45" maxDate="2021-11-09T17:45:00"/>
    </cacheField>
    <cacheField name="outlet_id" numFmtId="0">
      <sharedItems count="2">
        <s v="wrqy-juv-978"/>
        <s v="8woh-k3u-23b"/>
      </sharedItems>
    </cacheField>
    <cacheField name="cms_id" numFmtId="0">
      <sharedItems/>
    </cacheField>
    <cacheField name="same_day" numFmtId="0">
      <sharedItems containsSemiMixedTypes="0" containsString="0" containsNumber="1" containsInteger="1" minValue="0" maxValue="1"/>
    </cacheField>
    <cacheField name="same_hour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isu-sjd-457"/>
    <d v="2021-08-19T16:45:43"/>
    <d v="2021-08-22T12:33:32"/>
    <x v="0"/>
    <s v="vew-iuvd-12"/>
    <n v="0"/>
    <n v="0"/>
  </r>
  <r>
    <s v="qer-fal-092"/>
    <d v="2021-08-21T11:09:22"/>
    <d v="2021-08-21T17:13:45"/>
    <x v="1"/>
    <s v="vew-iuvd-13"/>
    <n v="1"/>
    <n v="0"/>
  </r>
  <r>
    <s v="tkt-101"/>
    <d v="2021-11-01T10:15:00"/>
    <d v="2021-11-01T10:45:00"/>
    <x v="0"/>
    <s v="vew-iuvd-14"/>
    <n v="1"/>
    <n v="1"/>
  </r>
  <r>
    <s v="tkt-102"/>
    <d v="2021-11-01T14:20:00"/>
    <d v="2021-11-01T14:55:00"/>
    <x v="1"/>
    <s v="vew-iuvd-15"/>
    <n v="1"/>
    <n v="1"/>
  </r>
  <r>
    <s v="tkt-103"/>
    <d v="2021-11-02T09:00:00"/>
    <d v="2021-11-02T18:00:00"/>
    <x v="0"/>
    <s v="vew-iuvd-16"/>
    <n v="1"/>
    <n v="0"/>
  </r>
  <r>
    <s v="tkt-104"/>
    <d v="2021-11-03T11:30:00"/>
    <d v="2021-11-04T11:30:00"/>
    <x v="1"/>
    <s v="vew-iuvd-17"/>
    <n v="0"/>
    <n v="0"/>
  </r>
  <r>
    <s v="tkt-105"/>
    <d v="2021-11-04T16:05:00"/>
    <d v="2021-11-04T16:20:00"/>
    <x v="0"/>
    <s v="vew-iuvd-18"/>
    <n v="1"/>
    <n v="1"/>
  </r>
  <r>
    <s v="tkt-106"/>
    <d v="2021-11-05T08:45:00"/>
    <d v="2021-11-05T08:59:00"/>
    <x v="1"/>
    <s v="vew-iuvd-19"/>
    <n v="1"/>
    <n v="1"/>
  </r>
  <r>
    <s v="tkt-107"/>
    <d v="2021-11-06T12:00:00"/>
    <d v="2021-11-07T13:00:00"/>
    <x v="0"/>
    <s v="vew-iuvd-20"/>
    <n v="0"/>
    <n v="0"/>
  </r>
  <r>
    <s v="tkt-108"/>
    <d v="2021-11-07T15:10:00"/>
    <d v="2021-11-07T15:40:00"/>
    <x v="1"/>
    <s v="vew-iuvd-21"/>
    <n v="1"/>
    <n v="1"/>
  </r>
  <r>
    <s v="tkt-109"/>
    <d v="2021-11-08T10:00:00"/>
    <d v="2021-11-08T16:00:00"/>
    <x v="0"/>
    <s v="vew-iuvd-22"/>
    <n v="1"/>
    <n v="0"/>
  </r>
  <r>
    <s v="tkt-110"/>
    <d v="2021-11-09T17:30:00"/>
    <d v="2021-11-09T17:45:00"/>
    <x v="1"/>
    <s v="vew-iuvd-23"/>
    <n v="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AD0465-D73E-4162-8426-E32FDC2C12D3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6" firstHeaderRow="0" firstDataRow="1" firstDataCol="1"/>
  <pivotFields count="7">
    <pivotField showAll="0"/>
    <pivotField numFmtId="22" showAll="0"/>
    <pivotField numFmtId="22" showAll="0"/>
    <pivotField axis="axisRow" showAll="0">
      <items count="3">
        <item x="1"/>
        <item x="0"/>
        <item t="default"/>
      </items>
    </pivotField>
    <pivotField showAll="0"/>
    <pivotField dataField="1" showAll="0"/>
    <pivotField dataField="1" showAl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me_day" fld="5" baseField="0" baseItem="0"/>
    <dataField name="Sum of same_hour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3"/>
  <sheetViews>
    <sheetView workbookViewId="0">
      <selection activeCell="D21" sqref="D21"/>
    </sheetView>
  </sheetViews>
  <sheetFormatPr defaultColWidth="12.6640625" defaultRowHeight="15.75" customHeight="1" x14ac:dyDescent="0.25"/>
  <cols>
    <col min="2" max="3" width="15.5546875" bestFit="1" customWidth="1"/>
    <col min="9" max="9" width="21.77734375" bestFit="1" customWidth="1"/>
    <col min="10" max="10" width="22.44140625" bestFit="1" customWidth="1"/>
  </cols>
  <sheetData>
    <row r="1" spans="1:9" ht="13.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6" t="s">
        <v>34</v>
      </c>
      <c r="G1" s="6" t="s">
        <v>35</v>
      </c>
    </row>
    <row r="2" spans="1:9" ht="13.2" x14ac:dyDescent="0.25">
      <c r="A2" s="4" t="s">
        <v>5</v>
      </c>
      <c r="B2" s="5">
        <v>44427.698414351849</v>
      </c>
      <c r="C2" s="5">
        <v>44430.523287037038</v>
      </c>
      <c r="D2" s="4" t="s">
        <v>6</v>
      </c>
      <c r="E2" s="4" t="s">
        <v>7</v>
      </c>
      <c r="F2">
        <f>IF(INT(B2)=INT(C2), 1, 0)</f>
        <v>0</v>
      </c>
      <c r="G2">
        <f>IF(AND(INT(B2)=INT(C2), HOUR(B2)=HOUR(C2)), 1, 0)</f>
        <v>0</v>
      </c>
    </row>
    <row r="3" spans="1:9" ht="13.2" x14ac:dyDescent="0.25">
      <c r="A3" s="4" t="s">
        <v>8</v>
      </c>
      <c r="B3" s="5">
        <v>44429.464837962965</v>
      </c>
      <c r="C3" s="5">
        <v>44429.717881944445</v>
      </c>
      <c r="D3" s="4" t="s">
        <v>9</v>
      </c>
      <c r="E3" s="4" t="s">
        <v>10</v>
      </c>
      <c r="F3">
        <f t="shared" ref="F3:F13" si="0">IF(INT(B3)=INT(C3), 1, 0)</f>
        <v>1</v>
      </c>
      <c r="G3">
        <f t="shared" ref="G3:G13" si="1">IF(AND(INT(B3)=INT(C3), HOUR(B3)=HOUR(C3)), 1, 0)</f>
        <v>0</v>
      </c>
      <c r="H3" s="9"/>
      <c r="I3" s="9"/>
    </row>
    <row r="4" spans="1:9" ht="13.2" x14ac:dyDescent="0.25">
      <c r="A4" s="4" t="s">
        <v>11</v>
      </c>
      <c r="B4" s="5">
        <v>44501.427083333336</v>
      </c>
      <c r="C4" s="5">
        <v>44501.447916666664</v>
      </c>
      <c r="D4" s="4" t="s">
        <v>6</v>
      </c>
      <c r="E4" s="4" t="s">
        <v>12</v>
      </c>
      <c r="F4">
        <f t="shared" si="0"/>
        <v>1</v>
      </c>
      <c r="G4">
        <f t="shared" si="1"/>
        <v>1</v>
      </c>
    </row>
    <row r="5" spans="1:9" ht="13.2" x14ac:dyDescent="0.25">
      <c r="A5" s="4" t="s">
        <v>13</v>
      </c>
      <c r="B5" s="5">
        <v>44501.597222222219</v>
      </c>
      <c r="C5" s="5">
        <v>44501.621527777781</v>
      </c>
      <c r="D5" s="4" t="s">
        <v>9</v>
      </c>
      <c r="E5" s="4" t="s">
        <v>14</v>
      </c>
      <c r="F5">
        <f t="shared" si="0"/>
        <v>1</v>
      </c>
      <c r="G5">
        <f t="shared" si="1"/>
        <v>1</v>
      </c>
    </row>
    <row r="6" spans="1:9" ht="13.2" x14ac:dyDescent="0.25">
      <c r="A6" s="4" t="s">
        <v>15</v>
      </c>
      <c r="B6" s="5">
        <v>44502.375</v>
      </c>
      <c r="C6" s="5">
        <v>44502.75</v>
      </c>
      <c r="D6" s="4" t="s">
        <v>6</v>
      </c>
      <c r="E6" s="4" t="s">
        <v>16</v>
      </c>
      <c r="F6">
        <f t="shared" si="0"/>
        <v>1</v>
      </c>
      <c r="G6">
        <f t="shared" si="1"/>
        <v>0</v>
      </c>
    </row>
    <row r="7" spans="1:9" ht="13.2" x14ac:dyDescent="0.25">
      <c r="A7" s="4" t="s">
        <v>17</v>
      </c>
      <c r="B7" s="5">
        <v>44503.479166666664</v>
      </c>
      <c r="C7" s="5">
        <v>44504.479166666664</v>
      </c>
      <c r="D7" s="4" t="s">
        <v>9</v>
      </c>
      <c r="E7" s="4" t="s">
        <v>18</v>
      </c>
      <c r="F7">
        <f t="shared" si="0"/>
        <v>0</v>
      </c>
      <c r="G7">
        <f t="shared" si="1"/>
        <v>0</v>
      </c>
    </row>
    <row r="8" spans="1:9" ht="13.2" x14ac:dyDescent="0.25">
      <c r="A8" s="4" t="s">
        <v>19</v>
      </c>
      <c r="B8" s="5">
        <v>44504.670138888891</v>
      </c>
      <c r="C8" s="5">
        <v>44504.680555555555</v>
      </c>
      <c r="D8" s="4" t="s">
        <v>6</v>
      </c>
      <c r="E8" s="4" t="s">
        <v>20</v>
      </c>
      <c r="F8">
        <f t="shared" si="0"/>
        <v>1</v>
      </c>
      <c r="G8">
        <f t="shared" si="1"/>
        <v>1</v>
      </c>
    </row>
    <row r="9" spans="1:9" ht="13.2" x14ac:dyDescent="0.25">
      <c r="A9" s="4" t="s">
        <v>21</v>
      </c>
      <c r="B9" s="5">
        <v>44505.364583333336</v>
      </c>
      <c r="C9" s="5">
        <v>44505.374305555553</v>
      </c>
      <c r="D9" s="4" t="s">
        <v>9</v>
      </c>
      <c r="E9" s="4" t="s">
        <v>22</v>
      </c>
      <c r="F9">
        <f t="shared" si="0"/>
        <v>1</v>
      </c>
      <c r="G9">
        <f t="shared" si="1"/>
        <v>1</v>
      </c>
    </row>
    <row r="10" spans="1:9" ht="13.2" x14ac:dyDescent="0.25">
      <c r="A10" s="4" t="s">
        <v>23</v>
      </c>
      <c r="B10" s="5">
        <v>44506.5</v>
      </c>
      <c r="C10" s="5">
        <v>44507.541666666664</v>
      </c>
      <c r="D10" s="4" t="s">
        <v>6</v>
      </c>
      <c r="E10" s="4" t="s">
        <v>24</v>
      </c>
      <c r="F10">
        <f t="shared" si="0"/>
        <v>0</v>
      </c>
      <c r="G10">
        <f t="shared" si="1"/>
        <v>0</v>
      </c>
    </row>
    <row r="11" spans="1:9" ht="13.2" x14ac:dyDescent="0.25">
      <c r="A11" s="4" t="s">
        <v>25</v>
      </c>
      <c r="B11" s="5">
        <v>44507.631944444445</v>
      </c>
      <c r="C11" s="5">
        <v>44507.652777777781</v>
      </c>
      <c r="D11" s="4" t="s">
        <v>9</v>
      </c>
      <c r="E11" s="4" t="s">
        <v>26</v>
      </c>
      <c r="F11">
        <f t="shared" si="0"/>
        <v>1</v>
      </c>
      <c r="G11">
        <f t="shared" si="1"/>
        <v>1</v>
      </c>
    </row>
    <row r="12" spans="1:9" ht="13.2" x14ac:dyDescent="0.25">
      <c r="A12" s="4" t="s">
        <v>27</v>
      </c>
      <c r="B12" s="5">
        <v>44508.416666666664</v>
      </c>
      <c r="C12" s="5">
        <v>44508.666666666664</v>
      </c>
      <c r="D12" s="4" t="s">
        <v>6</v>
      </c>
      <c r="E12" s="4" t="s">
        <v>28</v>
      </c>
      <c r="F12">
        <f t="shared" si="0"/>
        <v>1</v>
      </c>
      <c r="G12">
        <f t="shared" si="1"/>
        <v>0</v>
      </c>
    </row>
    <row r="13" spans="1:9" ht="13.2" x14ac:dyDescent="0.25">
      <c r="A13" s="4" t="s">
        <v>29</v>
      </c>
      <c r="B13" s="5">
        <v>44509.729166666664</v>
      </c>
      <c r="C13" s="5">
        <v>44509.739583333336</v>
      </c>
      <c r="D13" s="4" t="s">
        <v>9</v>
      </c>
      <c r="E13" s="4" t="s">
        <v>30</v>
      </c>
      <c r="F13">
        <f t="shared" si="0"/>
        <v>1</v>
      </c>
      <c r="G13">
        <f t="shared" si="1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52CF3-301B-41BF-9BDA-9836011B3894}">
  <dimension ref="A3:C6"/>
  <sheetViews>
    <sheetView workbookViewId="0">
      <selection activeCell="A3" sqref="A3"/>
    </sheetView>
  </sheetViews>
  <sheetFormatPr defaultRowHeight="13.2" x14ac:dyDescent="0.25"/>
  <cols>
    <col min="1" max="1" width="13.33203125" bestFit="1" customWidth="1"/>
    <col min="2" max="2" width="16.44140625" bestFit="1" customWidth="1"/>
    <col min="3" max="3" width="17.5546875" bestFit="1" customWidth="1"/>
  </cols>
  <sheetData>
    <row r="3" spans="1:3" x14ac:dyDescent="0.25">
      <c r="A3" s="7" t="s">
        <v>36</v>
      </c>
      <c r="B3" t="s">
        <v>38</v>
      </c>
      <c r="C3" t="s">
        <v>39</v>
      </c>
    </row>
    <row r="4" spans="1:3" x14ac:dyDescent="0.25">
      <c r="A4" s="8" t="s">
        <v>9</v>
      </c>
      <c r="B4">
        <v>5</v>
      </c>
      <c r="C4">
        <v>4</v>
      </c>
    </row>
    <row r="5" spans="1:3" x14ac:dyDescent="0.25">
      <c r="A5" s="8" t="s">
        <v>6</v>
      </c>
      <c r="B5">
        <v>4</v>
      </c>
      <c r="C5">
        <v>2</v>
      </c>
    </row>
    <row r="6" spans="1:3" x14ac:dyDescent="0.25">
      <c r="A6" s="8" t="s">
        <v>37</v>
      </c>
      <c r="B6">
        <v>9</v>
      </c>
      <c r="C6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D020A-D14B-405B-AC2B-2B78D8EE9118}">
  <dimension ref="A1:D13"/>
  <sheetViews>
    <sheetView tabSelected="1" workbookViewId="0">
      <selection activeCell="F2" sqref="F2"/>
    </sheetView>
  </sheetViews>
  <sheetFormatPr defaultRowHeight="13.2" x14ac:dyDescent="0.25"/>
  <cols>
    <col min="1" max="1" width="25" customWidth="1"/>
    <col min="2" max="2" width="14.88671875" customWidth="1"/>
    <col min="3" max="3" width="14.77734375" customWidth="1"/>
    <col min="4" max="4" width="15.5546875" style="1" bestFit="1" customWidth="1"/>
  </cols>
  <sheetData>
    <row r="1" spans="1:4" x14ac:dyDescent="0.25">
      <c r="A1" s="2" t="s">
        <v>4</v>
      </c>
      <c r="B1" s="2" t="s">
        <v>31</v>
      </c>
      <c r="C1" s="2" t="s">
        <v>32</v>
      </c>
      <c r="D1" s="1" t="s">
        <v>33</v>
      </c>
    </row>
    <row r="2" spans="1:4" ht="16.2" customHeight="1" x14ac:dyDescent="0.25">
      <c r="A2" s="2" t="s">
        <v>7</v>
      </c>
      <c r="B2" s="2">
        <v>44429.560277777775</v>
      </c>
      <c r="C2" s="2">
        <v>3</v>
      </c>
      <c r="D2" s="1">
        <f>_xlfn.XLOOKUP(A2,ticket!E:E,ticket!B:B,"Ticket not found")</f>
        <v>44427.698414351849</v>
      </c>
    </row>
    <row r="3" spans="1:4" x14ac:dyDescent="0.25">
      <c r="A3" s="2" t="s">
        <v>10</v>
      </c>
      <c r="B3" s="2">
        <v>44430.416666666664</v>
      </c>
      <c r="C3" s="2">
        <v>4</v>
      </c>
      <c r="D3" s="1">
        <f>_xlfn.XLOOKUP(A3,ticket!E:E,ticket!B:B,"Ticket not found")</f>
        <v>44429.464837962965</v>
      </c>
    </row>
    <row r="4" spans="1:4" x14ac:dyDescent="0.25">
      <c r="A4" s="2" t="s">
        <v>12</v>
      </c>
      <c r="B4" s="2">
        <v>44501.458333333336</v>
      </c>
      <c r="C4" s="2">
        <v>5</v>
      </c>
      <c r="D4" s="1">
        <f>_xlfn.XLOOKUP(A4,ticket!E:E,ticket!B:B,"Ticket not found")</f>
        <v>44501.427083333336</v>
      </c>
    </row>
    <row r="5" spans="1:4" x14ac:dyDescent="0.25">
      <c r="A5" s="2" t="s">
        <v>14</v>
      </c>
      <c r="B5" s="2">
        <v>44501.666666666664</v>
      </c>
      <c r="C5" s="2">
        <v>2</v>
      </c>
      <c r="D5" s="1">
        <f>_xlfn.XLOOKUP(A5,ticket!E:E,ticket!B:B,"Ticket not found")</f>
        <v>44501.597222222219</v>
      </c>
    </row>
    <row r="6" spans="1:4" x14ac:dyDescent="0.25">
      <c r="A6" s="2" t="s">
        <v>16</v>
      </c>
      <c r="B6" s="2">
        <v>44502.791666666664</v>
      </c>
      <c r="C6" s="2">
        <v>4</v>
      </c>
      <c r="D6" s="1">
        <f>_xlfn.XLOOKUP(A6,ticket!E:E,ticket!B:B,"Ticket not found")</f>
        <v>44502.375</v>
      </c>
    </row>
    <row r="7" spans="1:4" x14ac:dyDescent="0.25">
      <c r="A7" s="2" t="s">
        <v>18</v>
      </c>
      <c r="B7" s="2">
        <v>44505.416666666664</v>
      </c>
      <c r="C7" s="2">
        <v>3</v>
      </c>
      <c r="D7" s="1">
        <f>_xlfn.XLOOKUP(A7,ticket!E:E,ticket!B:B,"Ticket not found")</f>
        <v>44503.479166666664</v>
      </c>
    </row>
    <row r="8" spans="1:4" x14ac:dyDescent="0.25">
      <c r="A8" s="2" t="s">
        <v>20</v>
      </c>
      <c r="B8" s="2">
        <v>44504.708333333336</v>
      </c>
      <c r="C8" s="2">
        <v>5</v>
      </c>
      <c r="D8" s="1">
        <f>_xlfn.XLOOKUP(A8,ticket!E:E,ticket!B:B,"Ticket not found")</f>
        <v>44504.670138888891</v>
      </c>
    </row>
    <row r="9" spans="1:4" x14ac:dyDescent="0.25">
      <c r="A9" s="2" t="s">
        <v>22</v>
      </c>
      <c r="B9" s="2">
        <v>44505.395833333336</v>
      </c>
      <c r="C9" s="2">
        <v>1</v>
      </c>
      <c r="D9" s="1">
        <f>_xlfn.XLOOKUP(A9,ticket!E:E,ticket!B:B,"Ticket not found")</f>
        <v>44505.364583333336</v>
      </c>
    </row>
    <row r="10" spans="1:4" x14ac:dyDescent="0.25">
      <c r="A10" s="2" t="s">
        <v>24</v>
      </c>
      <c r="B10" s="2">
        <v>44508.583333333336</v>
      </c>
      <c r="C10" s="2">
        <v>4</v>
      </c>
      <c r="D10" s="1">
        <f>_xlfn.XLOOKUP(A10,ticket!E:E,ticket!B:B,"Ticket not found")</f>
        <v>44506.5</v>
      </c>
    </row>
    <row r="11" spans="1:4" x14ac:dyDescent="0.25">
      <c r="A11" s="2" t="s">
        <v>26</v>
      </c>
      <c r="B11" s="2">
        <v>44507.6875</v>
      </c>
      <c r="C11" s="2">
        <v>3</v>
      </c>
      <c r="D11" s="1">
        <f>_xlfn.XLOOKUP(A11,ticket!E:E,ticket!B:B,"Ticket not found")</f>
        <v>44507.631944444445</v>
      </c>
    </row>
    <row r="12" spans="1:4" x14ac:dyDescent="0.25">
      <c r="A12" s="2" t="s">
        <v>28</v>
      </c>
      <c r="B12" s="2">
        <v>44508.75</v>
      </c>
      <c r="C12" s="2">
        <v>2</v>
      </c>
      <c r="D12" s="1">
        <f>_xlfn.XLOOKUP(A12,ticket!E:E,ticket!B:B,"Ticket not found")</f>
        <v>44508.416666666664</v>
      </c>
    </row>
    <row r="13" spans="1:4" x14ac:dyDescent="0.25">
      <c r="A13" s="2" t="s">
        <v>30</v>
      </c>
      <c r="B13" s="2">
        <v>44509.770833333336</v>
      </c>
      <c r="C13" s="2">
        <v>5</v>
      </c>
      <c r="D13" s="1">
        <f>_xlfn.XLOOKUP(A13,ticket!E:E,ticket!B:B,"Ticket not found")</f>
        <v>44509.729166666664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</vt:lpstr>
      <vt:lpstr>count</vt:lpstr>
      <vt:lpstr>feedbacks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 .V</dc:creator>
  <cp:lastModifiedBy>Bharath .V</cp:lastModifiedBy>
  <dcterms:created xsi:type="dcterms:W3CDTF">2026-04-08T15:09:52Z</dcterms:created>
  <dcterms:modified xsi:type="dcterms:W3CDTF">2026-04-08T18:08:25Z</dcterms:modified>
</cp:coreProperties>
</file>